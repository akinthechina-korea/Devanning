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aaron/Downloads/"/>
    </mc:Choice>
  </mc:AlternateContent>
  <xr:revisionPtr revIDLastSave="0" documentId="13_ncr:1_{7E9776F2-FE9A-FE4E-A121-C49D03FF0112}" xr6:coauthVersionLast="47" xr6:coauthVersionMax="47" xr10:uidLastSave="{00000000-0000-0000-0000-000000000000}"/>
  <bookViews>
    <workbookView xWindow="920" yWindow="880" windowWidth="35080" windowHeight="22500" xr2:uid="{00000000-000D-0000-FFFF-FFFF00000000}"/>
  </bookViews>
  <sheets>
    <sheet name="구조_연동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4" i="2" l="1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<sst xmlns="http://schemas.openxmlformats.org/spreadsheetml/2006/main" count="147" uniqueCount="88">
  <si>
    <t>번호</t>
  </si>
  <si>
    <t>품명</t>
  </si>
  <si>
    <t>수량</t>
  </si>
  <si>
    <t>중량</t>
  </si>
  <si>
    <t>입항일자</t>
  </si>
  <si>
    <t>CON'T No.</t>
  </si>
  <si>
    <t>화물종류</t>
  </si>
  <si>
    <t>DRY/WET</t>
  </si>
  <si>
    <t>수출국명</t>
  </si>
  <si>
    <t>선명</t>
  </si>
  <si>
    <t>검역사항</t>
  </si>
  <si>
    <t>경유지</t>
  </si>
  <si>
    <t>B/L No.</t>
  </si>
  <si>
    <t>화물관리번호</t>
  </si>
  <si>
    <t>수입자</t>
  </si>
  <si>
    <t>반입번호</t>
  </si>
  <si>
    <t>PLT</t>
  </si>
  <si>
    <t>B/L수량</t>
  </si>
  <si>
    <t>TIE</t>
  </si>
  <si>
    <t>SELL UNIT PER CASE</t>
  </si>
  <si>
    <t>DO</t>
  </si>
  <si>
    <t>item No.</t>
  </si>
  <si>
    <t>높이</t>
  </si>
  <si>
    <t>소비기한</t>
  </si>
  <si>
    <t>특이사항</t>
  </si>
  <si>
    <t>WHITE HAIR NETS</t>
  </si>
  <si>
    <t>WET</t>
  </si>
  <si>
    <t>(주)코스트코코리아</t>
  </si>
  <si>
    <t>ONEYRICFEZ807400</t>
  </si>
  <si>
    <t>냉동보관</t>
  </si>
  <si>
    <t>1/2 SHEET CAKE PAN LINERS</t>
  </si>
  <si>
    <t>DRY</t>
  </si>
  <si>
    <t>고온주의</t>
  </si>
  <si>
    <t>CASE LINER 32"X260"</t>
  </si>
  <si>
    <t>-</t>
  </si>
  <si>
    <t>RFID태그부착</t>
  </si>
  <si>
    <t>COFFEE FILTER #2 CONE STY</t>
  </si>
  <si>
    <t>포장테이프이탈</t>
  </si>
  <si>
    <t>NEW PAN LINERS 16 3/8 X24</t>
  </si>
  <si>
    <t>파손주의</t>
  </si>
  <si>
    <t>SWISS MISS GIFT TIN</t>
  </si>
  <si>
    <t>ONEYRICFGU637900</t>
  </si>
  <si>
    <t>냉동창고보관</t>
  </si>
  <si>
    <t>COCKTAIL PEANUTS</t>
  </si>
  <si>
    <t>BLOC2509007</t>
  </si>
  <si>
    <t>깨짐주의</t>
  </si>
  <si>
    <t>HONEY ROASTED PEANUTS</t>
  </si>
  <si>
    <t>BLOC2509006</t>
  </si>
  <si>
    <t>건냉보관</t>
  </si>
  <si>
    <t>UNSTOPABLES OCEAN MIST</t>
  </si>
  <si>
    <t>NAM7963381</t>
  </si>
  <si>
    <t>의료기기인증필요</t>
  </si>
  <si>
    <t>LA ESPANOLA AVOCADO OIL</t>
  </si>
  <si>
    <t>미백기능성</t>
  </si>
  <si>
    <t>워싱제품</t>
  </si>
  <si>
    <t>DON SIMON ORANGE JUICE</t>
  </si>
  <si>
    <t>유리병포장</t>
  </si>
  <si>
    <t>KS GRAPESEED OIL 2L</t>
  </si>
  <si>
    <t>ONEYALGF02952400</t>
  </si>
  <si>
    <t>GMP인증필요</t>
  </si>
  <si>
    <t>REINHART WHITE VINEGAR</t>
  </si>
  <si>
    <t>ONEYRICFEN165500</t>
  </si>
  <si>
    <t>변형주의</t>
  </si>
  <si>
    <t>ONEYRICFEN173400</t>
  </si>
  <si>
    <t>급속냉동</t>
  </si>
  <si>
    <t>ONEYRICFEN178900</t>
  </si>
  <si>
    <t>독성검사필요</t>
  </si>
  <si>
    <t>MIZKAN TSUYU BONITO SAUCE</t>
  </si>
  <si>
    <t>ONEYTYOFH1454600</t>
  </si>
  <si>
    <t>알레르기주의</t>
  </si>
  <si>
    <t>TIPCO PINEAPPLE JUICE</t>
  </si>
  <si>
    <t>THBKK0000126942</t>
  </si>
  <si>
    <t>미세섬유주의</t>
  </si>
  <si>
    <t>MINI MENTOS FRUITS</t>
  </si>
  <si>
    <t>CMZ1697306</t>
  </si>
  <si>
    <t>곰팡이검사필요</t>
  </si>
  <si>
    <t>MIU SILICONE UTENSIL SET</t>
  </si>
  <si>
    <t>CMZ1699273</t>
  </si>
  <si>
    <t>온도민감</t>
  </si>
  <si>
    <t>BERKSHIRE HEATED THROW</t>
  </si>
  <si>
    <t>ONEYNB5IAN148600</t>
  </si>
  <si>
    <t>사이즈표기확인</t>
  </si>
  <si>
    <t>ELEGANT TEALIGHTS 420PC</t>
  </si>
  <si>
    <t>CNDLC0000059530</t>
  </si>
  <si>
    <t>냉장보관</t>
  </si>
  <si>
    <t>SENNENYA BAUMKUCHEN CAKES</t>
  </si>
  <si>
    <t>TYOA73203</t>
  </si>
  <si>
    <t>전기인증필요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</si>
</sst>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0000"/>
      <name val="&quot;맑은 고딕&quot;"/>
      <family val="3"/>
      <charset val="129"/>
    </font>
    <font>
      <sz val="10"/>
      <color rgb="FFFF0000"/>
      <name val="Arial"/>
      <family val="2"/>
      <scheme val="minor"/>
    </font>
    <font>
      <sz val="10"/>
      <color rgb="FFFF0000"/>
      <name val="&quot;맑은 고딕 \(본문\)&quot;"/>
      <family val="3"/>
      <charset val="129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4">
    <border>
      <left/>
      <right/>
      <top/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F3F3F3"/>
      </left>
      <right/>
      <top style="thin">
        <color rgb="FFF3F3F3"/>
      </top>
      <bottom style="thin">
        <color rgb="FFF3F3F3"/>
      </bottom>
      <diagonal/>
    </border>
    <border>
      <left/>
      <right style="thin">
        <color rgb="FFF3F3F3"/>
      </right>
      <top style="thin">
        <color rgb="FFF3F3F3"/>
      </top>
      <bottom style="thin">
        <color rgb="FFF3F3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929"/>
  <sheetViews>
    <sheetView showGridLines="0" tabSelected="1" workbookViewId="0">
      <selection activeCell="N32" sqref="N32"/>
    </sheetView>
  </sheetViews>
  <sheetFormatPr baseColWidth="10" defaultColWidth="12.6640625" defaultRowHeight="15.75" customHeight="1"/>
  <cols>
    <col min="1" max="1" width="4.6640625" customWidth="1"/>
    <col min="2" max="2" width="28.5" customWidth="1"/>
    <col min="3" max="3" width="9.1640625" customWidth="1"/>
    <col min="4" max="4" width="6.83203125" customWidth="1"/>
    <col min="5" max="5" width="6.6640625" customWidth="1"/>
    <col min="6" max="6" width="9.1640625" customWidth="1"/>
    <col min="7" max="7" width="6.6640625" customWidth="1"/>
    <col min="8" max="8" width="8.6640625" customWidth="1"/>
    <col min="9" max="9" width="8.5" customWidth="1"/>
    <col min="10" max="10" width="11.5" customWidth="1"/>
    <col min="11" max="11" width="6.6640625" customWidth="1"/>
    <col min="12" max="12" width="5.33203125" customWidth="1"/>
    <col min="13" max="13" width="20.5" customWidth="1"/>
    <col min="14" max="14" width="9.6640625" customWidth="1"/>
    <col min="15" max="15" width="15.5" customWidth="1"/>
    <col min="16" max="16" width="20.6640625" customWidth="1"/>
    <col min="17" max="17" width="16.33203125" customWidth="1"/>
    <col min="18" max="18" width="8.5" customWidth="1"/>
    <col min="19" max="19" width="6.6640625" customWidth="1"/>
    <col min="20" max="20" width="5.33203125" customWidth="1"/>
    <col min="21" max="21" width="18.6640625" customWidth="1"/>
    <col min="22" max="22" width="6.83203125" customWidth="1"/>
    <col min="23" max="23" width="7.6640625" customWidth="1"/>
    <col min="24" max="24" width="8.33203125" customWidth="1"/>
    <col min="25" max="25" width="7.33203125" customWidth="1"/>
    <col min="26" max="26" width="11.83203125" customWidth="1"/>
    <col min="27" max="27" width="12.5" customWidth="1"/>
  </cols>
  <sheetData>
    <row r="1" spans="1:30" ht="32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3" t="s">
        <v>12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</v>
      </c>
      <c r="Y1" s="3" t="s">
        <v>22</v>
      </c>
      <c r="Z1" s="3" t="s">
        <v>23</v>
      </c>
      <c r="AA1" s="3" t="s">
        <v>24</v>
      </c>
      <c r="AB1" s="2"/>
      <c r="AC1" s="2"/>
      <c r="AD1" s="2"/>
    </row>
    <row r="2" spans="1:30" ht="15">
      <c r="A2" s="1">
        <v>1</v>
      </c>
      <c r="B2" s="1" t="s">
        <v>25</v>
      </c>
      <c r="C2" s="1"/>
      <c r="D2" s="1"/>
      <c r="E2" s="1"/>
      <c r="F2" s="1"/>
      <c r="G2" s="1"/>
      <c r="H2" s="1" t="s">
        <v>26</v>
      </c>
      <c r="I2" s="1"/>
      <c r="J2" s="1"/>
      <c r="K2" s="1"/>
      <c r="L2" s="1"/>
      <c r="M2" s="1" t="str">
        <f t="shared" ref="M2:M24" si="0">P2</f>
        <v>ONEYRICFEZ807400</v>
      </c>
      <c r="N2" s="6"/>
      <c r="O2" s="7" t="s">
        <v>27</v>
      </c>
      <c r="P2" s="8" t="s">
        <v>28</v>
      </c>
      <c r="Q2" s="9">
        <v>45961</v>
      </c>
      <c r="R2" s="8">
        <v>1</v>
      </c>
      <c r="S2" s="8">
        <v>48</v>
      </c>
      <c r="T2" s="10">
        <v>5</v>
      </c>
      <c r="U2" s="8">
        <v>1</v>
      </c>
      <c r="V2" s="8">
        <v>61</v>
      </c>
      <c r="W2" s="8">
        <v>12940</v>
      </c>
      <c r="X2" s="10">
        <v>2400</v>
      </c>
      <c r="Y2" s="10">
        <v>90</v>
      </c>
      <c r="Z2" s="9">
        <v>46082</v>
      </c>
      <c r="AA2" s="10" t="s">
        <v>29</v>
      </c>
      <c r="AB2" s="2"/>
      <c r="AC2" s="2"/>
      <c r="AD2" s="2"/>
    </row>
    <row r="3" spans="1:30" ht="15">
      <c r="A3" s="1">
        <v>2</v>
      </c>
      <c r="B3" s="1" t="s">
        <v>30</v>
      </c>
      <c r="C3" s="1"/>
      <c r="D3" s="1"/>
      <c r="E3" s="1"/>
      <c r="F3" s="1"/>
      <c r="G3" s="1"/>
      <c r="H3" s="1" t="s">
        <v>31</v>
      </c>
      <c r="I3" s="1"/>
      <c r="J3" s="1"/>
      <c r="K3" s="1"/>
      <c r="L3" s="1"/>
      <c r="M3" s="1" t="str">
        <f t="shared" si="0"/>
        <v>ONEYRICFEZ807400</v>
      </c>
      <c r="N3" s="6"/>
      <c r="O3" s="7" t="s">
        <v>27</v>
      </c>
      <c r="P3" s="8" t="s">
        <v>28</v>
      </c>
      <c r="Q3" s="9">
        <v>45961</v>
      </c>
      <c r="R3" s="8">
        <v>1</v>
      </c>
      <c r="S3" s="8">
        <v>30</v>
      </c>
      <c r="T3" s="10">
        <v>10</v>
      </c>
      <c r="U3" s="8">
        <v>1</v>
      </c>
      <c r="V3" s="8">
        <v>62</v>
      </c>
      <c r="W3" s="8">
        <v>43144</v>
      </c>
      <c r="X3" s="10">
        <v>7200</v>
      </c>
      <c r="Y3" s="10">
        <v>80</v>
      </c>
      <c r="Z3" s="9">
        <v>46402</v>
      </c>
      <c r="AA3" s="10" t="s">
        <v>32</v>
      </c>
      <c r="AB3" s="2"/>
      <c r="AC3" s="2"/>
      <c r="AD3" s="2"/>
    </row>
    <row r="4" spans="1:30" ht="15">
      <c r="A4" s="1">
        <v>3</v>
      </c>
      <c r="B4" s="1" t="s">
        <v>33</v>
      </c>
      <c r="C4" s="1"/>
      <c r="D4" s="1"/>
      <c r="E4" s="1"/>
      <c r="F4" s="1"/>
      <c r="G4" s="1"/>
      <c r="H4" s="1" t="s">
        <v>31</v>
      </c>
      <c r="I4" s="1"/>
      <c r="J4" s="1"/>
      <c r="K4" s="1"/>
      <c r="L4" s="1"/>
      <c r="M4" s="1" t="str">
        <f t="shared" si="0"/>
        <v>ONEYRICFEZ807400</v>
      </c>
      <c r="N4" s="6"/>
      <c r="O4" s="7" t="s">
        <v>27</v>
      </c>
      <c r="P4" s="8" t="s">
        <v>28</v>
      </c>
      <c r="Q4" s="9">
        <v>45961</v>
      </c>
      <c r="R4" s="8">
        <v>2</v>
      </c>
      <c r="S4" s="8">
        <v>96</v>
      </c>
      <c r="T4" s="10">
        <v>20</v>
      </c>
      <c r="U4" s="8">
        <v>1</v>
      </c>
      <c r="V4" s="8">
        <v>61</v>
      </c>
      <c r="W4" s="8">
        <v>47191</v>
      </c>
      <c r="X4" s="10">
        <v>5000</v>
      </c>
      <c r="Y4" s="10">
        <v>45</v>
      </c>
      <c r="Z4" s="10" t="s">
        <v>34</v>
      </c>
      <c r="AA4" s="10" t="s">
        <v>35</v>
      </c>
      <c r="AB4" s="2"/>
      <c r="AC4" s="2"/>
      <c r="AD4" s="2"/>
    </row>
    <row r="5" spans="1:30" ht="15">
      <c r="A5" s="1">
        <v>4</v>
      </c>
      <c r="B5" s="1" t="s">
        <v>36</v>
      </c>
      <c r="C5" s="1"/>
      <c r="D5" s="1"/>
      <c r="E5" s="1"/>
      <c r="F5" s="1"/>
      <c r="G5" s="1"/>
      <c r="H5" s="1" t="s">
        <v>31</v>
      </c>
      <c r="I5" s="1"/>
      <c r="J5" s="1"/>
      <c r="K5" s="1"/>
      <c r="L5" s="1"/>
      <c r="M5" s="1" t="str">
        <f t="shared" si="0"/>
        <v>ONEYRICFEZ807400</v>
      </c>
      <c r="N5" s="6"/>
      <c r="O5" s="7" t="s">
        <v>27</v>
      </c>
      <c r="P5" s="8" t="s">
        <v>28</v>
      </c>
      <c r="Q5" s="9">
        <v>45961</v>
      </c>
      <c r="R5" s="8">
        <v>10</v>
      </c>
      <c r="S5" s="8">
        <v>2880</v>
      </c>
      <c r="T5" s="10">
        <v>5</v>
      </c>
      <c r="U5" s="8">
        <v>48</v>
      </c>
      <c r="V5" s="8">
        <v>14</v>
      </c>
      <c r="W5" s="8">
        <v>208068</v>
      </c>
      <c r="X5" s="10">
        <v>16000</v>
      </c>
      <c r="Y5" s="10">
        <v>30</v>
      </c>
      <c r="Z5" s="10" t="s">
        <v>34</v>
      </c>
      <c r="AA5" s="10" t="s">
        <v>37</v>
      </c>
      <c r="AB5" s="2"/>
      <c r="AC5" s="2"/>
      <c r="AD5" s="2"/>
    </row>
    <row r="6" spans="1:30" ht="15">
      <c r="A6" s="1">
        <v>5</v>
      </c>
      <c r="B6" s="1" t="s">
        <v>38</v>
      </c>
      <c r="C6" s="1"/>
      <c r="D6" s="1"/>
      <c r="E6" s="1"/>
      <c r="F6" s="1"/>
      <c r="G6" s="1"/>
      <c r="H6" s="1" t="s">
        <v>26</v>
      </c>
      <c r="I6" s="1"/>
      <c r="J6" s="1"/>
      <c r="K6" s="1"/>
      <c r="L6" s="1"/>
      <c r="M6" s="1" t="str">
        <f t="shared" si="0"/>
        <v>ONEYRICFEZ807400</v>
      </c>
      <c r="N6" s="6"/>
      <c r="O6" s="7" t="s">
        <v>27</v>
      </c>
      <c r="P6" s="8" t="s">
        <v>28</v>
      </c>
      <c r="Q6" s="9">
        <v>45961</v>
      </c>
      <c r="R6" s="8">
        <v>1</v>
      </c>
      <c r="S6" s="8">
        <v>100</v>
      </c>
      <c r="T6" s="10">
        <v>10</v>
      </c>
      <c r="U6" s="8">
        <v>1</v>
      </c>
      <c r="V6" s="8">
        <v>62</v>
      </c>
      <c r="W6" s="8">
        <v>1147644</v>
      </c>
      <c r="X6" s="10">
        <v>1200</v>
      </c>
      <c r="Y6" s="10">
        <v>40</v>
      </c>
      <c r="Z6" s="9">
        <v>47848</v>
      </c>
      <c r="AA6" s="10" t="s">
        <v>39</v>
      </c>
      <c r="AB6" s="2"/>
      <c r="AC6" s="2"/>
      <c r="AD6" s="2"/>
    </row>
    <row r="7" spans="1:30" ht="15">
      <c r="A7" s="1">
        <v>6</v>
      </c>
      <c r="B7" s="1" t="s">
        <v>40</v>
      </c>
      <c r="C7" s="1"/>
      <c r="D7" s="1"/>
      <c r="E7" s="1"/>
      <c r="F7" s="1"/>
      <c r="G7" s="1"/>
      <c r="H7" s="1" t="s">
        <v>26</v>
      </c>
      <c r="I7" s="1"/>
      <c r="J7" s="1"/>
      <c r="K7" s="1"/>
      <c r="L7" s="1"/>
      <c r="M7" s="1" t="str">
        <f t="shared" si="0"/>
        <v>ONEYRICFGU637900</v>
      </c>
      <c r="N7" s="6"/>
      <c r="O7" s="7" t="s">
        <v>27</v>
      </c>
      <c r="P7" s="8" t="s">
        <v>41</v>
      </c>
      <c r="Q7" s="9">
        <v>45961</v>
      </c>
      <c r="R7" s="8">
        <v>45</v>
      </c>
      <c r="S7" s="8">
        <v>10800</v>
      </c>
      <c r="T7" s="10">
        <v>5</v>
      </c>
      <c r="U7" s="8">
        <v>9</v>
      </c>
      <c r="V7" s="8">
        <v>13</v>
      </c>
      <c r="W7" s="8">
        <v>584484</v>
      </c>
      <c r="X7" s="10">
        <v>2250</v>
      </c>
      <c r="Y7" s="10">
        <v>85</v>
      </c>
      <c r="Z7" s="9">
        <v>46113</v>
      </c>
      <c r="AA7" s="10" t="s">
        <v>42</v>
      </c>
      <c r="AB7" s="2"/>
      <c r="AC7" s="2"/>
      <c r="AD7" s="2"/>
    </row>
    <row r="8" spans="1:30" ht="15">
      <c r="A8" s="1">
        <v>7</v>
      </c>
      <c r="B8" s="1" t="s">
        <v>43</v>
      </c>
      <c r="C8" s="1"/>
      <c r="D8" s="1"/>
      <c r="E8" s="1"/>
      <c r="F8" s="1"/>
      <c r="G8" s="1"/>
      <c r="H8" s="1" t="s">
        <v>31</v>
      </c>
      <c r="I8" s="1"/>
      <c r="J8" s="1"/>
      <c r="K8" s="1"/>
      <c r="L8" s="1"/>
      <c r="M8" s="1" t="str">
        <f t="shared" si="0"/>
        <v>BLOC2509007</v>
      </c>
      <c r="N8" s="6"/>
      <c r="O8" s="7" t="s">
        <v>27</v>
      </c>
      <c r="P8" s="8" t="s">
        <v>44</v>
      </c>
      <c r="Q8" s="9">
        <v>45961</v>
      </c>
      <c r="R8" s="8">
        <v>40</v>
      </c>
      <c r="S8" s="8">
        <v>8640</v>
      </c>
      <c r="T8" s="10">
        <v>10</v>
      </c>
      <c r="U8" s="11">
        <v>0</v>
      </c>
      <c r="V8" s="8">
        <v>12</v>
      </c>
      <c r="W8" s="8">
        <v>747804</v>
      </c>
      <c r="X8" s="10">
        <v>7200</v>
      </c>
      <c r="Y8" s="10">
        <v>50</v>
      </c>
      <c r="Z8" s="10" t="s">
        <v>34</v>
      </c>
      <c r="AA8" s="10" t="s">
        <v>45</v>
      </c>
      <c r="AB8" s="2"/>
      <c r="AC8" s="2"/>
      <c r="AD8" s="2"/>
    </row>
    <row r="9" spans="1:30" ht="15">
      <c r="A9" s="1">
        <v>8</v>
      </c>
      <c r="B9" s="1" t="s">
        <v>46</v>
      </c>
      <c r="C9" s="1"/>
      <c r="D9" s="1"/>
      <c r="E9" s="1"/>
      <c r="F9" s="1"/>
      <c r="G9" s="1"/>
      <c r="H9" s="1" t="s">
        <v>31</v>
      </c>
      <c r="I9" s="1"/>
      <c r="J9" s="1"/>
      <c r="K9" s="1"/>
      <c r="L9" s="1"/>
      <c r="M9" s="1" t="str">
        <f t="shared" si="0"/>
        <v>BLOC2509006</v>
      </c>
      <c r="N9" s="6"/>
      <c r="O9" s="7" t="s">
        <v>27</v>
      </c>
      <c r="P9" s="8" t="s">
        <v>47</v>
      </c>
      <c r="Q9" s="9">
        <v>45961</v>
      </c>
      <c r="R9" s="8">
        <v>32</v>
      </c>
      <c r="S9" s="8">
        <v>6876</v>
      </c>
      <c r="T9" s="10">
        <v>6</v>
      </c>
      <c r="U9" s="8">
        <v>9</v>
      </c>
      <c r="V9" s="8">
        <v>12</v>
      </c>
      <c r="W9" s="8">
        <v>747802</v>
      </c>
      <c r="X9" s="10">
        <v>3600</v>
      </c>
      <c r="Y9" s="10">
        <v>60</v>
      </c>
      <c r="Z9" s="9">
        <v>46527</v>
      </c>
      <c r="AA9" s="10" t="s">
        <v>48</v>
      </c>
      <c r="AB9" s="2"/>
      <c r="AC9" s="2"/>
      <c r="AD9" s="2"/>
    </row>
    <row r="10" spans="1:30" ht="15">
      <c r="A10" s="1">
        <v>9</v>
      </c>
      <c r="B10" s="1" t="s">
        <v>49</v>
      </c>
      <c r="C10" s="1"/>
      <c r="D10" s="1"/>
      <c r="E10" s="1"/>
      <c r="F10" s="1"/>
      <c r="G10" s="1"/>
      <c r="H10" s="1" t="s">
        <v>31</v>
      </c>
      <c r="I10" s="1"/>
      <c r="J10" s="1"/>
      <c r="K10" s="1"/>
      <c r="L10" s="1"/>
      <c r="M10" s="1" t="str">
        <f t="shared" si="0"/>
        <v>NAM7963381</v>
      </c>
      <c r="N10" s="6"/>
      <c r="O10" s="7" t="s">
        <v>27</v>
      </c>
      <c r="P10" s="8" t="s">
        <v>50</v>
      </c>
      <c r="Q10" s="9">
        <v>45961</v>
      </c>
      <c r="R10" s="8">
        <v>20</v>
      </c>
      <c r="S10" s="8">
        <v>4800</v>
      </c>
      <c r="T10" s="10">
        <v>10</v>
      </c>
      <c r="U10" s="8">
        <v>6</v>
      </c>
      <c r="V10" s="8">
        <v>14</v>
      </c>
      <c r="W10" s="8">
        <v>679253</v>
      </c>
      <c r="X10" s="10">
        <v>9000</v>
      </c>
      <c r="Y10" s="10">
        <v>20</v>
      </c>
      <c r="Z10" s="9">
        <v>46996</v>
      </c>
      <c r="AA10" s="10" t="s">
        <v>51</v>
      </c>
      <c r="AB10" s="2"/>
      <c r="AC10" s="2"/>
      <c r="AD10" s="2"/>
    </row>
    <row r="11" spans="1:30" ht="15">
      <c r="A11" s="1">
        <v>10</v>
      </c>
      <c r="B11" s="1" t="s">
        <v>52</v>
      </c>
      <c r="C11" s="1"/>
      <c r="D11" s="1"/>
      <c r="E11" s="1"/>
      <c r="F11" s="1"/>
      <c r="G11" s="1"/>
      <c r="H11" s="1" t="s">
        <v>31</v>
      </c>
      <c r="I11" s="1"/>
      <c r="J11" s="1"/>
      <c r="K11" s="1"/>
      <c r="L11" s="1"/>
      <c r="M11" s="1">
        <f t="shared" si="0"/>
        <v>1068852545</v>
      </c>
      <c r="N11" s="6"/>
      <c r="O11" s="7" t="s">
        <v>27</v>
      </c>
      <c r="P11" s="8">
        <v>1068852545</v>
      </c>
      <c r="Q11" s="9">
        <v>45961</v>
      </c>
      <c r="R11" s="8">
        <v>21</v>
      </c>
      <c r="S11" s="8">
        <v>14112</v>
      </c>
      <c r="T11" s="10">
        <v>15</v>
      </c>
      <c r="U11" s="8">
        <v>12</v>
      </c>
      <c r="V11" s="8">
        <v>13</v>
      </c>
      <c r="W11" s="8">
        <v>685220</v>
      </c>
      <c r="X11" s="10">
        <v>10000</v>
      </c>
      <c r="Y11" s="10">
        <v>10</v>
      </c>
      <c r="Z11" s="9">
        <v>46783</v>
      </c>
      <c r="AA11" s="10" t="s">
        <v>53</v>
      </c>
      <c r="AB11" s="2"/>
      <c r="AC11" s="2"/>
      <c r="AD11" s="2"/>
    </row>
    <row r="12" spans="1:30" ht="15">
      <c r="A12" s="1">
        <v>11</v>
      </c>
      <c r="B12" s="1" t="s">
        <v>52</v>
      </c>
      <c r="C12" s="1"/>
      <c r="D12" s="1"/>
      <c r="E12" s="1"/>
      <c r="F12" s="1"/>
      <c r="G12" s="1"/>
      <c r="H12" s="1" t="s">
        <v>31</v>
      </c>
      <c r="I12" s="1"/>
      <c r="J12" s="1"/>
      <c r="K12" s="1"/>
      <c r="L12" s="1"/>
      <c r="M12" s="1">
        <f t="shared" si="0"/>
        <v>1068852999</v>
      </c>
      <c r="N12" s="6"/>
      <c r="O12" s="7" t="s">
        <v>27</v>
      </c>
      <c r="P12" s="8">
        <v>1068852999</v>
      </c>
      <c r="Q12" s="9">
        <v>45961</v>
      </c>
      <c r="R12" s="8">
        <v>21</v>
      </c>
      <c r="S12" s="8">
        <v>14112</v>
      </c>
      <c r="T12" s="10">
        <v>10</v>
      </c>
      <c r="U12" s="8">
        <v>12</v>
      </c>
      <c r="V12" s="8">
        <v>13</v>
      </c>
      <c r="W12" s="8">
        <v>685220</v>
      </c>
      <c r="X12" s="10">
        <v>1250</v>
      </c>
      <c r="Y12" s="10">
        <v>55</v>
      </c>
      <c r="Z12" s="10" t="s">
        <v>34</v>
      </c>
      <c r="AA12" s="10" t="s">
        <v>54</v>
      </c>
      <c r="AB12" s="2"/>
      <c r="AC12" s="2"/>
      <c r="AD12" s="2"/>
    </row>
    <row r="13" spans="1:30" ht="15">
      <c r="A13" s="1">
        <v>12</v>
      </c>
      <c r="B13" s="1" t="s">
        <v>55</v>
      </c>
      <c r="C13" s="1"/>
      <c r="D13" s="1"/>
      <c r="E13" s="1"/>
      <c r="F13" s="1"/>
      <c r="G13" s="1"/>
      <c r="H13" s="1" t="s">
        <v>26</v>
      </c>
      <c r="I13" s="1"/>
      <c r="J13" s="1"/>
      <c r="K13" s="1"/>
      <c r="L13" s="1"/>
      <c r="M13" s="1">
        <f t="shared" si="0"/>
        <v>1068588765</v>
      </c>
      <c r="N13" s="6"/>
      <c r="O13" s="7" t="s">
        <v>27</v>
      </c>
      <c r="P13" s="8">
        <v>1068588765</v>
      </c>
      <c r="Q13" s="9">
        <v>45961</v>
      </c>
      <c r="R13" s="8">
        <v>20</v>
      </c>
      <c r="S13" s="8">
        <v>3200</v>
      </c>
      <c r="T13" s="10">
        <v>10</v>
      </c>
      <c r="U13" s="8">
        <v>1</v>
      </c>
      <c r="V13" s="8">
        <v>13</v>
      </c>
      <c r="W13" s="8">
        <v>622616</v>
      </c>
      <c r="X13" s="10">
        <v>3600</v>
      </c>
      <c r="Y13" s="10">
        <v>40</v>
      </c>
      <c r="Z13" s="9">
        <v>46266</v>
      </c>
      <c r="AA13" s="10" t="s">
        <v>56</v>
      </c>
      <c r="AB13" s="2"/>
      <c r="AC13" s="2"/>
      <c r="AD13" s="2"/>
    </row>
    <row r="14" spans="1:30" ht="15">
      <c r="A14" s="1">
        <v>13</v>
      </c>
      <c r="B14" s="1" t="s">
        <v>57</v>
      </c>
      <c r="C14" s="1"/>
      <c r="D14" s="1"/>
      <c r="E14" s="1"/>
      <c r="F14" s="1"/>
      <c r="G14" s="1"/>
      <c r="H14" s="1" t="s">
        <v>31</v>
      </c>
      <c r="I14" s="1"/>
      <c r="J14" s="1"/>
      <c r="K14" s="1"/>
      <c r="L14" s="1"/>
      <c r="M14" s="1" t="str">
        <f t="shared" si="0"/>
        <v>ONEYALGF02952400</v>
      </c>
      <c r="N14" s="6"/>
      <c r="O14" s="7" t="s">
        <v>27</v>
      </c>
      <c r="P14" s="8" t="s">
        <v>58</v>
      </c>
      <c r="Q14" s="9">
        <v>45961</v>
      </c>
      <c r="R14" s="8">
        <v>21</v>
      </c>
      <c r="S14" s="8">
        <v>8400</v>
      </c>
      <c r="T14" s="10">
        <v>10</v>
      </c>
      <c r="U14" s="8">
        <v>8</v>
      </c>
      <c r="V14" s="8">
        <v>13</v>
      </c>
      <c r="W14" s="8">
        <v>1121218</v>
      </c>
      <c r="X14" s="10">
        <v>24000</v>
      </c>
      <c r="Y14" s="10">
        <v>25</v>
      </c>
      <c r="Z14" s="9">
        <v>46477</v>
      </c>
      <c r="AA14" s="10" t="s">
        <v>59</v>
      </c>
      <c r="AB14" s="2"/>
      <c r="AC14" s="2"/>
      <c r="AD14" s="2"/>
    </row>
    <row r="15" spans="1:30" ht="15">
      <c r="A15" s="1">
        <v>14</v>
      </c>
      <c r="B15" s="1" t="s">
        <v>60</v>
      </c>
      <c r="C15" s="1"/>
      <c r="D15" s="1"/>
      <c r="E15" s="1"/>
      <c r="F15" s="1"/>
      <c r="G15" s="1"/>
      <c r="H15" s="1" t="s">
        <v>31</v>
      </c>
      <c r="I15" s="1"/>
      <c r="J15" s="1"/>
      <c r="K15" s="1"/>
      <c r="L15" s="1"/>
      <c r="M15" s="1" t="str">
        <f t="shared" si="0"/>
        <v>ONEYRICFEN165500</v>
      </c>
      <c r="N15" s="6"/>
      <c r="O15" s="7" t="s">
        <v>27</v>
      </c>
      <c r="P15" s="8" t="s">
        <v>61</v>
      </c>
      <c r="Q15" s="9">
        <v>45961</v>
      </c>
      <c r="R15" s="8">
        <v>27</v>
      </c>
      <c r="S15" s="8">
        <v>1840</v>
      </c>
      <c r="T15" s="10">
        <v>8</v>
      </c>
      <c r="U15" s="8">
        <v>1</v>
      </c>
      <c r="V15" s="8">
        <v>13</v>
      </c>
      <c r="W15" s="8">
        <v>1819713</v>
      </c>
      <c r="X15" s="10">
        <v>9600</v>
      </c>
      <c r="Y15" s="10">
        <v>50</v>
      </c>
      <c r="Z15" s="10" t="s">
        <v>34</v>
      </c>
      <c r="AA15" s="10" t="s">
        <v>62</v>
      </c>
      <c r="AB15" s="2"/>
      <c r="AC15" s="2"/>
      <c r="AD15" s="2"/>
    </row>
    <row r="16" spans="1:30" ht="15">
      <c r="A16" s="1">
        <v>15</v>
      </c>
      <c r="B16" s="1" t="s">
        <v>60</v>
      </c>
      <c r="C16" s="1"/>
      <c r="D16" s="1"/>
      <c r="E16" s="1"/>
      <c r="F16" s="1"/>
      <c r="G16" s="1"/>
      <c r="H16" s="1" t="s">
        <v>26</v>
      </c>
      <c r="I16" s="1"/>
      <c r="J16" s="1"/>
      <c r="K16" s="1"/>
      <c r="L16" s="1"/>
      <c r="M16" s="1" t="str">
        <f t="shared" si="0"/>
        <v>ONEYRICFEN173400</v>
      </c>
      <c r="N16" s="6"/>
      <c r="O16" s="7" t="s">
        <v>27</v>
      </c>
      <c r="P16" s="8" t="s">
        <v>63</v>
      </c>
      <c r="Q16" s="9">
        <v>45961</v>
      </c>
      <c r="R16" s="8">
        <v>27</v>
      </c>
      <c r="S16" s="8">
        <v>1840</v>
      </c>
      <c r="T16" s="10">
        <v>4</v>
      </c>
      <c r="U16" s="8">
        <v>1</v>
      </c>
      <c r="V16" s="8">
        <v>13</v>
      </c>
      <c r="W16" s="8">
        <v>1819713</v>
      </c>
      <c r="X16" s="10">
        <v>1500</v>
      </c>
      <c r="Y16" s="10">
        <v>100</v>
      </c>
      <c r="Z16" s="9">
        <v>46173</v>
      </c>
      <c r="AA16" s="10" t="s">
        <v>64</v>
      </c>
      <c r="AB16" s="2"/>
      <c r="AC16" s="2"/>
      <c r="AD16" s="2"/>
    </row>
    <row r="17" spans="1:30" ht="15">
      <c r="A17" s="1">
        <v>16</v>
      </c>
      <c r="B17" s="1" t="s">
        <v>60</v>
      </c>
      <c r="C17" s="1"/>
      <c r="D17" s="1"/>
      <c r="E17" s="1"/>
      <c r="F17" s="1"/>
      <c r="G17" s="1"/>
      <c r="H17" s="1" t="s">
        <v>31</v>
      </c>
      <c r="I17" s="1"/>
      <c r="J17" s="1"/>
      <c r="K17" s="1"/>
      <c r="L17" s="1"/>
      <c r="M17" s="1" t="str">
        <f t="shared" si="0"/>
        <v>ONEYRICFEN178900</v>
      </c>
      <c r="N17" s="6"/>
      <c r="O17" s="7" t="s">
        <v>27</v>
      </c>
      <c r="P17" s="8" t="s">
        <v>65</v>
      </c>
      <c r="Q17" s="9">
        <v>45961</v>
      </c>
      <c r="R17" s="8">
        <v>27</v>
      </c>
      <c r="S17" s="8">
        <v>1840</v>
      </c>
      <c r="T17" s="10">
        <v>10</v>
      </c>
      <c r="U17" s="8">
        <v>1</v>
      </c>
      <c r="V17" s="8">
        <v>13</v>
      </c>
      <c r="W17" s="8">
        <v>1819713</v>
      </c>
      <c r="X17" s="10">
        <v>7200</v>
      </c>
      <c r="Y17" s="10">
        <v>45</v>
      </c>
      <c r="Z17" s="9">
        <v>46753</v>
      </c>
      <c r="AA17" s="10" t="s">
        <v>66</v>
      </c>
      <c r="AB17" s="2"/>
      <c r="AC17" s="2"/>
      <c r="AD17" s="2"/>
    </row>
    <row r="18" spans="1:30" ht="15">
      <c r="A18" s="1">
        <v>17</v>
      </c>
      <c r="B18" s="1" t="s">
        <v>67</v>
      </c>
      <c r="C18" s="1"/>
      <c r="D18" s="1"/>
      <c r="E18" s="1"/>
      <c r="F18" s="1"/>
      <c r="G18" s="1"/>
      <c r="H18" s="1" t="s">
        <v>31</v>
      </c>
      <c r="I18" s="1"/>
      <c r="J18" s="1"/>
      <c r="K18" s="1"/>
      <c r="L18" s="1"/>
      <c r="M18" s="1" t="str">
        <f t="shared" si="0"/>
        <v>ONEYTYOFH1454600</v>
      </c>
      <c r="N18" s="6"/>
      <c r="O18" s="7" t="s">
        <v>27</v>
      </c>
      <c r="P18" s="8" t="s">
        <v>68</v>
      </c>
      <c r="Q18" s="9">
        <v>45961</v>
      </c>
      <c r="R18" s="8">
        <v>22</v>
      </c>
      <c r="S18" s="8">
        <v>5736</v>
      </c>
      <c r="T18" s="10">
        <v>5</v>
      </c>
      <c r="U18" s="8">
        <v>6</v>
      </c>
      <c r="V18" s="8">
        <v>13</v>
      </c>
      <c r="W18" s="8">
        <v>579734</v>
      </c>
      <c r="X18" s="10">
        <v>10000</v>
      </c>
      <c r="Y18" s="10">
        <v>60</v>
      </c>
      <c r="Z18" s="9">
        <v>46357</v>
      </c>
      <c r="AA18" s="10" t="s">
        <v>69</v>
      </c>
      <c r="AB18" s="2"/>
      <c r="AC18" s="2"/>
      <c r="AD18" s="2"/>
    </row>
    <row r="19" spans="1:30" ht="15">
      <c r="A19" s="1">
        <v>18</v>
      </c>
      <c r="B19" s="1" t="s">
        <v>70</v>
      </c>
      <c r="C19" s="1"/>
      <c r="D19" s="1"/>
      <c r="E19" s="1"/>
      <c r="F19" s="1"/>
      <c r="G19" s="1"/>
      <c r="H19" s="1" t="s">
        <v>31</v>
      </c>
      <c r="I19" s="1"/>
      <c r="J19" s="1"/>
      <c r="K19" s="1"/>
      <c r="L19" s="1"/>
      <c r="M19" s="1" t="str">
        <f t="shared" si="0"/>
        <v>THBKK0000126942</v>
      </c>
      <c r="N19" s="6"/>
      <c r="O19" s="7" t="s">
        <v>27</v>
      </c>
      <c r="P19" s="8" t="s">
        <v>71</v>
      </c>
      <c r="Q19" s="9">
        <v>45961</v>
      </c>
      <c r="R19" s="8">
        <v>12</v>
      </c>
      <c r="S19" s="8">
        <v>2160</v>
      </c>
      <c r="T19" s="10">
        <v>15</v>
      </c>
      <c r="U19" s="8">
        <v>1</v>
      </c>
      <c r="V19" s="8">
        <v>13</v>
      </c>
      <c r="W19" s="8">
        <v>635814</v>
      </c>
      <c r="X19" s="10">
        <v>35000</v>
      </c>
      <c r="Y19" s="10">
        <v>20</v>
      </c>
      <c r="Z19" s="9">
        <v>46935</v>
      </c>
      <c r="AA19" s="10" t="s">
        <v>72</v>
      </c>
      <c r="AB19" s="2"/>
      <c r="AC19" s="2"/>
      <c r="AD19" s="2"/>
    </row>
    <row r="20" spans="1:30" ht="15">
      <c r="A20" s="1">
        <v>19</v>
      </c>
      <c r="B20" s="1" t="s">
        <v>73</v>
      </c>
      <c r="C20" s="1"/>
      <c r="D20" s="1"/>
      <c r="E20" s="1"/>
      <c r="F20" s="1"/>
      <c r="G20" s="1"/>
      <c r="H20" s="1" t="s">
        <v>31</v>
      </c>
      <c r="I20" s="1"/>
      <c r="J20" s="1"/>
      <c r="K20" s="1"/>
      <c r="L20" s="1"/>
      <c r="M20" s="1" t="str">
        <f t="shared" si="0"/>
        <v>CMZ1697306</v>
      </c>
      <c r="N20" s="6"/>
      <c r="O20" s="7" t="s">
        <v>27</v>
      </c>
      <c r="P20" s="8" t="s">
        <v>74</v>
      </c>
      <c r="Q20" s="9">
        <v>45961</v>
      </c>
      <c r="R20" s="8">
        <v>20</v>
      </c>
      <c r="S20" s="8">
        <v>5400</v>
      </c>
      <c r="T20" s="10">
        <v>5</v>
      </c>
      <c r="U20" s="8">
        <v>6</v>
      </c>
      <c r="V20" s="8">
        <v>12</v>
      </c>
      <c r="W20" s="8">
        <v>661416</v>
      </c>
      <c r="X20" s="10">
        <v>100</v>
      </c>
      <c r="Y20" s="10">
        <v>200</v>
      </c>
      <c r="Z20" s="10" t="s">
        <v>34</v>
      </c>
      <c r="AA20" s="10" t="s">
        <v>75</v>
      </c>
      <c r="AB20" s="2"/>
      <c r="AC20" s="2"/>
      <c r="AD20" s="2"/>
    </row>
    <row r="21" spans="1:30" ht="15">
      <c r="A21" s="1">
        <v>20</v>
      </c>
      <c r="B21" s="1" t="s">
        <v>76</v>
      </c>
      <c r="C21" s="1"/>
      <c r="D21" s="1"/>
      <c r="E21" s="1"/>
      <c r="F21" s="1"/>
      <c r="G21" s="1"/>
      <c r="H21" s="1" t="s">
        <v>31</v>
      </c>
      <c r="I21" s="1"/>
      <c r="J21" s="1"/>
      <c r="K21" s="1"/>
      <c r="L21" s="1"/>
      <c r="M21" s="1" t="str">
        <f t="shared" si="0"/>
        <v>CMZ1699273</v>
      </c>
      <c r="N21" s="6"/>
      <c r="O21" s="7" t="s">
        <v>27</v>
      </c>
      <c r="P21" s="8" t="s">
        <v>77</v>
      </c>
      <c r="Q21" s="9">
        <v>45961</v>
      </c>
      <c r="R21" s="8">
        <v>42</v>
      </c>
      <c r="S21" s="8">
        <v>4536</v>
      </c>
      <c r="T21" s="10">
        <v>8</v>
      </c>
      <c r="U21" s="11">
        <v>0</v>
      </c>
      <c r="V21" s="8">
        <v>32</v>
      </c>
      <c r="W21" s="8">
        <v>1796154</v>
      </c>
      <c r="X21" s="10">
        <v>9600</v>
      </c>
      <c r="Y21" s="10">
        <v>40</v>
      </c>
      <c r="Z21" s="9">
        <v>46419</v>
      </c>
      <c r="AA21" s="10" t="s">
        <v>78</v>
      </c>
      <c r="AB21" s="2"/>
      <c r="AC21" s="2"/>
      <c r="AD21" s="2"/>
    </row>
    <row r="22" spans="1:30" ht="15">
      <c r="A22" s="1">
        <v>21</v>
      </c>
      <c r="B22" s="1" t="s">
        <v>79</v>
      </c>
      <c r="C22" s="1"/>
      <c r="D22" s="1"/>
      <c r="E22" s="1"/>
      <c r="F22" s="1"/>
      <c r="G22" s="1"/>
      <c r="H22" s="1" t="s">
        <v>31</v>
      </c>
      <c r="I22" s="1"/>
      <c r="J22" s="1"/>
      <c r="K22" s="1"/>
      <c r="L22" s="1"/>
      <c r="M22" s="1" t="str">
        <f t="shared" si="0"/>
        <v>ONEYNB5IAN148600</v>
      </c>
      <c r="N22" s="6"/>
      <c r="O22" s="7" t="s">
        <v>27</v>
      </c>
      <c r="P22" s="8" t="s">
        <v>80</v>
      </c>
      <c r="Q22" s="9">
        <v>45961</v>
      </c>
      <c r="R22" s="8">
        <v>42</v>
      </c>
      <c r="S22" s="8">
        <v>3360</v>
      </c>
      <c r="T22" s="10">
        <v>10</v>
      </c>
      <c r="U22" s="11">
        <v>0</v>
      </c>
      <c r="V22" s="8">
        <v>34</v>
      </c>
      <c r="W22" s="8">
        <v>1796167</v>
      </c>
      <c r="X22" s="10">
        <v>300</v>
      </c>
      <c r="Y22" s="10">
        <v>35</v>
      </c>
      <c r="Z22" s="10" t="s">
        <v>34</v>
      </c>
      <c r="AA22" s="10" t="s">
        <v>81</v>
      </c>
      <c r="AB22" s="2"/>
      <c r="AC22" s="2"/>
      <c r="AD22" s="2"/>
    </row>
    <row r="23" spans="1:30" ht="15">
      <c r="A23" s="1">
        <v>22</v>
      </c>
      <c r="B23" s="1" t="s">
        <v>82</v>
      </c>
      <c r="C23" s="1"/>
      <c r="D23" s="1"/>
      <c r="E23" s="1"/>
      <c r="F23" s="1"/>
      <c r="G23" s="1"/>
      <c r="H23" s="1" t="s">
        <v>26</v>
      </c>
      <c r="I23" s="1"/>
      <c r="J23" s="1"/>
      <c r="K23" s="1"/>
      <c r="L23" s="1"/>
      <c r="M23" s="1" t="str">
        <f t="shared" si="0"/>
        <v>CNDLC0000059530</v>
      </c>
      <c r="N23" s="6"/>
      <c r="O23" s="7" t="s">
        <v>27</v>
      </c>
      <c r="P23" s="8" t="s">
        <v>83</v>
      </c>
      <c r="Q23" s="9">
        <v>45961</v>
      </c>
      <c r="R23" s="8">
        <v>20</v>
      </c>
      <c r="S23" s="8">
        <v>2000</v>
      </c>
      <c r="T23" s="10">
        <v>6</v>
      </c>
      <c r="U23" s="8">
        <v>1</v>
      </c>
      <c r="V23" s="8">
        <v>32</v>
      </c>
      <c r="W23" s="8">
        <v>860510</v>
      </c>
      <c r="X23" s="10">
        <v>2400</v>
      </c>
      <c r="Y23" s="10">
        <v>30</v>
      </c>
      <c r="Z23" s="9">
        <v>46203</v>
      </c>
      <c r="AA23" s="10" t="s">
        <v>84</v>
      </c>
      <c r="AB23" s="2"/>
      <c r="AC23" s="2"/>
      <c r="AD23" s="2"/>
    </row>
    <row r="24" spans="1:30" ht="15">
      <c r="A24" s="1">
        <v>23</v>
      </c>
      <c r="B24" s="1" t="s">
        <v>85</v>
      </c>
      <c r="C24" s="1"/>
      <c r="D24" s="1"/>
      <c r="E24" s="1"/>
      <c r="F24" s="1"/>
      <c r="G24" s="1"/>
      <c r="H24" s="1" t="s">
        <v>31</v>
      </c>
      <c r="I24" s="1"/>
      <c r="J24" s="1"/>
      <c r="K24" s="1"/>
      <c r="L24" s="1"/>
      <c r="M24" s="1" t="str">
        <f t="shared" si="0"/>
        <v>TYOA73203</v>
      </c>
      <c r="N24" s="6"/>
      <c r="O24" s="7" t="s">
        <v>27</v>
      </c>
      <c r="P24" s="8" t="s">
        <v>86</v>
      </c>
      <c r="Q24" s="9">
        <v>45961</v>
      </c>
      <c r="R24" s="8">
        <v>20</v>
      </c>
      <c r="S24" s="8">
        <v>6000</v>
      </c>
      <c r="T24" s="10">
        <v>8</v>
      </c>
      <c r="U24" s="8">
        <v>1</v>
      </c>
      <c r="V24" s="8">
        <v>13</v>
      </c>
      <c r="W24" s="8">
        <v>36540</v>
      </c>
      <c r="X24" s="10">
        <v>300</v>
      </c>
      <c r="Y24" s="10">
        <v>70</v>
      </c>
      <c r="Z24" s="10" t="s">
        <v>34</v>
      </c>
      <c r="AA24" s="10" t="s">
        <v>87</v>
      </c>
      <c r="AB24" s="2"/>
      <c r="AC24" s="2"/>
      <c r="AD24" s="2"/>
    </row>
    <row r="25" spans="1:30" ht="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3">
      <c r="A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구조_연동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2025-10-31T01:50:46Z</dcterms:modified>
</cp:coreProperties>
</file>